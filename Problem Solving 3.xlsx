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NISHA TIRKEY\Documents\"/>
    </mc:Choice>
  </mc:AlternateContent>
  <xr:revisionPtr revIDLastSave="0" documentId="13_ncr:1_{CBC90D68-EF5C-471B-AA73-D183B5B32C8E}" xr6:coauthVersionLast="47" xr6:coauthVersionMax="47" xr10:uidLastSave="{00000000-0000-0000-0000-000000000000}"/>
  <bookViews>
    <workbookView xWindow="-108" yWindow="-108" windowWidth="23256" windowHeight="12456" xr2:uid="{CC3CC660-4A4D-42EF-9759-E054B1A6C8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7" i="1" l="1"/>
  <c r="I37" i="1"/>
  <c r="H37" i="1"/>
  <c r="J31" i="1"/>
  <c r="I31" i="1"/>
  <c r="H31" i="1"/>
  <c r="J26" i="1"/>
  <c r="I26" i="1"/>
  <c r="H26" i="1"/>
  <c r="I21" i="1"/>
  <c r="I39" i="1" s="1"/>
  <c r="H21" i="1"/>
  <c r="H39" i="1" s="1"/>
  <c r="J19" i="1"/>
  <c r="J21" i="1" s="1"/>
  <c r="J39" i="1" s="1"/>
  <c r="I19" i="1"/>
  <c r="H19" i="1"/>
  <c r="C31" i="1"/>
  <c r="D31" i="1"/>
  <c r="B31" i="1"/>
  <c r="C37" i="1"/>
  <c r="D37" i="1"/>
  <c r="B37" i="1"/>
  <c r="C26" i="1"/>
  <c r="D26" i="1"/>
  <c r="B26" i="1"/>
  <c r="D19" i="1"/>
  <c r="D21" i="1" s="1"/>
  <c r="C19" i="1"/>
  <c r="C21" i="1" s="1"/>
  <c r="B19" i="1"/>
  <c r="B21" i="1" s="1"/>
  <c r="B39" i="1" l="1"/>
  <c r="C39" i="1"/>
  <c r="D39" i="1"/>
</calcChain>
</file>

<file path=xl/sharedStrings.xml><?xml version="1.0" encoding="utf-8"?>
<sst xmlns="http://schemas.openxmlformats.org/spreadsheetml/2006/main" count="65" uniqueCount="33">
  <si>
    <t>Susan</t>
  </si>
  <si>
    <t>Chicago Museum Tour</t>
  </si>
  <si>
    <t>Orlando Theme Parks</t>
  </si>
  <si>
    <t>Miami Cruise</t>
  </si>
  <si>
    <t>Per Person Expenses</t>
  </si>
  <si>
    <t>Air Fare</t>
  </si>
  <si>
    <t>Natural History</t>
  </si>
  <si>
    <t>Chicago Museum of Art</t>
  </si>
  <si>
    <t>Science Museum</t>
  </si>
  <si>
    <t>Museum of Broadcast History</t>
  </si>
  <si>
    <t>Disneyland</t>
  </si>
  <si>
    <t>Universal Studios</t>
  </si>
  <si>
    <t>Sea World</t>
  </si>
  <si>
    <t>Busch Gardens</t>
  </si>
  <si>
    <t>Cruise</t>
  </si>
  <si>
    <t>Hotel Expenses</t>
  </si>
  <si>
    <t>Number of Nights</t>
  </si>
  <si>
    <t>Hotel Total</t>
  </si>
  <si>
    <t>Total</t>
  </si>
  <si>
    <t>Sub Total of tickets (per person)</t>
  </si>
  <si>
    <t>Number of people in group</t>
  </si>
  <si>
    <t>Total costs of tickets</t>
  </si>
  <si>
    <t>Car Expenses</t>
  </si>
  <si>
    <t>Food Expenses</t>
  </si>
  <si>
    <t>Number of Days</t>
  </si>
  <si>
    <t>Food Total</t>
  </si>
  <si>
    <t>Car Total</t>
  </si>
  <si>
    <t>Number of people</t>
  </si>
  <si>
    <t>Tanisha</t>
  </si>
  <si>
    <t>Tim</t>
  </si>
  <si>
    <t>Food Estimate(per day)</t>
  </si>
  <si>
    <t>Hotel Cost(per night)</t>
  </si>
  <si>
    <t>Car Rental(per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</si>
</sst>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164" fontId="0" fillId="2" borderId="0" xfId="0" applyNumberFormat="1" applyFill="1"/>
    <xf numFmtId="164" fontId="0" fillId="0" borderId="0" xfId="0" applyNumberFormat="1"/>
    <xf numFmtId="164" fontId="0" fillId="3" borderId="0" xfId="0" applyNumberFormat="1" applyFill="1"/>
    <xf numFmtId="164" fontId="0" fillId="4" borderId="0" xfId="0" applyNumberFormat="1" applyFill="1"/>
    <xf numFmtId="0" fontId="0" fillId="4" borderId="0" xfId="0" applyNumberFormat="1" applyFill="1"/>
    <xf numFmtId="0" fontId="0" fillId="3" borderId="0" xfId="0" applyNumberFormat="1" applyFill="1"/>
    <xf numFmtId="0" fontId="0" fillId="0" borderId="0" xfId="0" applyFill="1"/>
    <xf numFmtId="164" fontId="0" fillId="0" borderId="0" xfId="0" applyNumberFormat="1" applyFill="1"/>
    <xf numFmtId="0" fontId="1" fillId="5" borderId="0" xfId="0" applyFont="1" applyFill="1"/>
    <xf numFmtId="164" fontId="0" fillId="5" borderId="0" xfId="0" applyNumberFormat="1" applyFill="1"/>
    <xf numFmtId="0" fontId="0" fillId="5" borderId="0" xfId="0" applyFill="1"/>
    <xf numFmtId="0" fontId="0" fillId="5" borderId="0" xfId="0" applyNumberFormat="1" applyFill="1"/>
    <xf numFmtId="0" fontId="0" fillId="6" borderId="0" xfId="0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Susan(Total)</a:t>
            </a:r>
          </a:p>
        </c:rich>
      </c:tx>
      <c:layout>
        <c:manualLayout>
          <c:xMode val="edge"/>
          <c:yMode val="edge"/>
          <c:x val="0.45083333333333336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Sheet1!$B$3:$D$3</c:f>
              <c:strCache>
                <c:ptCount val="3"/>
                <c:pt idx="0">
                  <c:v>Chicago Museum Tour</c:v>
                </c:pt>
                <c:pt idx="1">
                  <c:v>Orlando Theme Parks</c:v>
                </c:pt>
                <c:pt idx="2">
                  <c:v>Miami Cruise</c:v>
                </c:pt>
              </c:strCache>
            </c:strRef>
          </c:cat>
          <c:val>
            <c:numRef>
              <c:f>Sheet1!$B$39:$D$39</c:f>
              <c:numCache>
                <c:formatCode>_-[$$-409]* #,##0.00_ ;_-[$$-409]* \-#,##0.00\ ;_-[$$-409]* "-"??_ ;_-@_ </c:formatCode>
                <c:ptCount val="3"/>
                <c:pt idx="0">
                  <c:v>1854</c:v>
                </c:pt>
                <c:pt idx="1">
                  <c:v>1853</c:v>
                </c:pt>
                <c:pt idx="2">
                  <c:v>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F-40A1-9160-B7824C11F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871247"/>
        <c:axId val="119866927"/>
      </c:barChart>
      <c:catAx>
        <c:axId val="119871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66927"/>
        <c:crosses val="autoZero"/>
        <c:auto val="1"/>
        <c:lblAlgn val="ctr"/>
        <c:lblOffset val="100"/>
        <c:noMultiLvlLbl val="0"/>
      </c:catAx>
      <c:valAx>
        <c:axId val="11986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871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Tim(Total)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Sheet1!$H$3:$J$3</c:f>
              <c:strCache>
                <c:ptCount val="3"/>
                <c:pt idx="0">
                  <c:v>Chicago Museum Tour</c:v>
                </c:pt>
                <c:pt idx="1">
                  <c:v>Orlando Theme Parks</c:v>
                </c:pt>
                <c:pt idx="2">
                  <c:v>Miami Cruise</c:v>
                </c:pt>
              </c:strCache>
            </c:strRef>
          </c:cat>
          <c:val>
            <c:numRef>
              <c:f>Sheet1!$H$39:$J$39</c:f>
              <c:numCache>
                <c:formatCode>_-[$$-409]* #,##0.00_ ;_-[$$-409]* \-#,##0.00\ ;_-[$$-409]* "-"??_ ;_-@_ </c:formatCode>
                <c:ptCount val="3"/>
                <c:pt idx="0">
                  <c:v>2948</c:v>
                </c:pt>
                <c:pt idx="1">
                  <c:v>3181</c:v>
                </c:pt>
                <c:pt idx="2">
                  <c:v>3620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0-458C-8E79-0038CBC74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999279"/>
        <c:axId val="10558383"/>
      </c:barChart>
      <c:catAx>
        <c:axId val="133999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8383"/>
        <c:crosses val="autoZero"/>
        <c:auto val="1"/>
        <c:lblAlgn val="ctr"/>
        <c:lblOffset val="100"/>
        <c:noMultiLvlLbl val="0"/>
      </c:catAx>
      <c:valAx>
        <c:axId val="10558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9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563880</xdr:colOff>
      <xdr:row>40</xdr:row>
      <xdr:rowOff>34290</xdr:rowOff>
    </xdr:from>
    <xdr:to>
      <xdr:col>3</xdr:col>
      <xdr:colOff>670560</xdr:colOff>
      <xdr:row>55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CC373A-1090-5CE5-8361-B953FBA45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579120</xdr:colOff>
      <xdr:row>39</xdr:row>
      <xdr:rowOff>179070</xdr:rowOff>
    </xdr:from>
    <xdr:to>
      <xdr:col>9</xdr:col>
      <xdr:colOff>685800</xdr:colOff>
      <xdr:row>55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183EB1-CDB2-C078-8931-D3EF530167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B10EC-47EF-46CC-8476-58A6D2DAD6B4}">
  <sheetPr>
    <pageSetUpPr fitToPage="1"/>
  </sheetPr>
  <dimension ref="A1:J39"/>
  <sheetViews>
    <sheetView tabSelected="1" topLeftCell="A31" workbookViewId="0">
      <selection activeCell="E4" sqref="E4"/>
    </sheetView>
  </sheetViews>
  <sheetFormatPr defaultRowHeight="14.4" x14ac:dyDescent="0.3"/>
  <cols>
    <col min="1" max="1" width="27.21875" bestFit="1" customWidth="1"/>
    <col min="2" max="2" width="19.33203125" bestFit="1" customWidth="1"/>
    <col min="3" max="3" width="18.5546875" bestFit="1" customWidth="1"/>
    <col min="4" max="4" width="11.5546875" bestFit="1" customWidth="1"/>
    <col min="7" max="7" width="27.21875" bestFit="1" customWidth="1"/>
    <col min="8" max="8" width="19.33203125" bestFit="1" customWidth="1"/>
    <col min="9" max="9" width="18.5546875" bestFit="1" customWidth="1"/>
    <col min="10" max="10" width="11.5546875" bestFit="1" customWidth="1"/>
  </cols>
  <sheetData>
    <row r="1" spans="1:10" x14ac:dyDescent="0.3">
      <c r="A1" t="s">
        <v>28</v>
      </c>
    </row>
    <row r="3" spans="1:10" x14ac:dyDescent="0.3">
      <c r="A3" t="s">
        <v>0</v>
      </c>
      <c r="B3" t="s">
        <v>1</v>
      </c>
      <c r="C3" t="s">
        <v>2</v>
      </c>
      <c r="D3" t="s">
        <v>3</v>
      </c>
      <c r="G3" t="s">
        <v>29</v>
      </c>
      <c r="H3" t="s">
        <v>1</v>
      </c>
      <c r="I3" t="s">
        <v>2</v>
      </c>
      <c r="J3" t="s">
        <v>3</v>
      </c>
    </row>
    <row r="7" spans="1:10" x14ac:dyDescent="0.3">
      <c r="A7" s="1" t="s">
        <v>4</v>
      </c>
      <c r="B7" s="6"/>
      <c r="C7" s="6"/>
      <c r="D7" s="6"/>
      <c r="G7" s="1" t="s">
        <v>4</v>
      </c>
      <c r="H7" s="6"/>
      <c r="I7" s="6"/>
      <c r="J7" s="6"/>
    </row>
    <row r="8" spans="1:10" x14ac:dyDescent="0.3">
      <c r="A8" s="2" t="s">
        <v>5</v>
      </c>
      <c r="B8" s="6">
        <v>280</v>
      </c>
      <c r="C8" s="6">
        <v>100</v>
      </c>
      <c r="D8" s="6">
        <v>350</v>
      </c>
      <c r="G8" s="2" t="s">
        <v>5</v>
      </c>
      <c r="H8" s="6">
        <v>280</v>
      </c>
      <c r="I8" s="6">
        <v>100</v>
      </c>
      <c r="J8" s="6">
        <v>350</v>
      </c>
    </row>
    <row r="9" spans="1:10" x14ac:dyDescent="0.3">
      <c r="A9" s="2" t="s">
        <v>6</v>
      </c>
      <c r="B9" s="6">
        <v>18</v>
      </c>
      <c r="C9" s="6">
        <v>0</v>
      </c>
      <c r="D9" s="6">
        <v>0</v>
      </c>
      <c r="G9" s="2" t="s">
        <v>6</v>
      </c>
      <c r="H9" s="6">
        <v>18</v>
      </c>
      <c r="I9" s="6">
        <v>0</v>
      </c>
      <c r="J9" s="6">
        <v>0</v>
      </c>
    </row>
    <row r="10" spans="1:10" x14ac:dyDescent="0.3">
      <c r="A10" s="2" t="s">
        <v>7</v>
      </c>
      <c r="B10" s="6">
        <v>25</v>
      </c>
      <c r="C10" s="6">
        <v>0</v>
      </c>
      <c r="D10" s="6">
        <v>0</v>
      </c>
      <c r="G10" s="2" t="s">
        <v>7</v>
      </c>
      <c r="H10" s="6">
        <v>25</v>
      </c>
      <c r="I10" s="6">
        <v>0</v>
      </c>
      <c r="J10" s="6">
        <v>0</v>
      </c>
    </row>
    <row r="11" spans="1:10" x14ac:dyDescent="0.3">
      <c r="A11" s="2" t="s">
        <v>8</v>
      </c>
      <c r="B11" s="6">
        <v>15</v>
      </c>
      <c r="C11" s="6">
        <v>0</v>
      </c>
      <c r="D11" s="6">
        <v>0</v>
      </c>
      <c r="G11" s="2" t="s">
        <v>8</v>
      </c>
      <c r="H11" s="6">
        <v>15</v>
      </c>
      <c r="I11" s="6">
        <v>0</v>
      </c>
      <c r="J11" s="6">
        <v>0</v>
      </c>
    </row>
    <row r="12" spans="1:10" x14ac:dyDescent="0.3">
      <c r="A12" s="2" t="s">
        <v>9</v>
      </c>
      <c r="B12" s="6">
        <v>9</v>
      </c>
      <c r="C12" s="6">
        <v>0</v>
      </c>
      <c r="D12" s="6">
        <v>0</v>
      </c>
      <c r="G12" s="2" t="s">
        <v>9</v>
      </c>
      <c r="H12" s="6">
        <v>9</v>
      </c>
      <c r="I12" s="6">
        <v>0</v>
      </c>
      <c r="J12" s="6">
        <v>0</v>
      </c>
    </row>
    <row r="13" spans="1:10" x14ac:dyDescent="0.3">
      <c r="A13" s="2" t="s">
        <v>10</v>
      </c>
      <c r="B13" s="6">
        <v>0</v>
      </c>
      <c r="C13" s="6">
        <v>99</v>
      </c>
      <c r="D13" s="6">
        <v>0</v>
      </c>
      <c r="G13" s="2" t="s">
        <v>10</v>
      </c>
      <c r="H13" s="6">
        <v>0</v>
      </c>
      <c r="I13" s="6">
        <v>99</v>
      </c>
      <c r="J13" s="6">
        <v>0</v>
      </c>
    </row>
    <row r="14" spans="1:10" x14ac:dyDescent="0.3">
      <c r="A14" s="2" t="s">
        <v>11</v>
      </c>
      <c r="B14" s="6">
        <v>0</v>
      </c>
      <c r="C14" s="6">
        <v>95</v>
      </c>
      <c r="D14" s="6">
        <v>0</v>
      </c>
      <c r="G14" s="2" t="s">
        <v>11</v>
      </c>
      <c r="H14" s="6">
        <v>0</v>
      </c>
      <c r="I14" s="6">
        <v>95</v>
      </c>
      <c r="J14" s="6">
        <v>0</v>
      </c>
    </row>
    <row r="15" spans="1:10" x14ac:dyDescent="0.3">
      <c r="A15" s="2" t="s">
        <v>12</v>
      </c>
      <c r="B15" s="6">
        <v>0</v>
      </c>
      <c r="C15" s="6">
        <v>85</v>
      </c>
      <c r="D15" s="6">
        <v>0</v>
      </c>
      <c r="G15" s="2" t="s">
        <v>12</v>
      </c>
      <c r="H15" s="6">
        <v>0</v>
      </c>
      <c r="I15" s="6">
        <v>85</v>
      </c>
      <c r="J15" s="6">
        <v>0</v>
      </c>
    </row>
    <row r="16" spans="1:10" x14ac:dyDescent="0.3">
      <c r="A16" s="2" t="s">
        <v>13</v>
      </c>
      <c r="B16" s="6">
        <v>0</v>
      </c>
      <c r="C16" s="6">
        <v>85</v>
      </c>
      <c r="D16" s="6">
        <v>0</v>
      </c>
      <c r="G16" s="2" t="s">
        <v>13</v>
      </c>
      <c r="H16" s="6">
        <v>0</v>
      </c>
      <c r="I16" s="6">
        <v>85</v>
      </c>
      <c r="J16" s="6">
        <v>0</v>
      </c>
    </row>
    <row r="17" spans="1:10" x14ac:dyDescent="0.3">
      <c r="A17" s="2" t="s">
        <v>14</v>
      </c>
      <c r="B17" s="6">
        <v>0</v>
      </c>
      <c r="C17" s="6">
        <v>0</v>
      </c>
      <c r="D17" s="6">
        <v>555</v>
      </c>
      <c r="G17" s="2" t="s">
        <v>14</v>
      </c>
      <c r="H17" s="6">
        <v>0</v>
      </c>
      <c r="I17" s="6">
        <v>0</v>
      </c>
      <c r="J17" s="6">
        <v>555</v>
      </c>
    </row>
    <row r="18" spans="1:10" x14ac:dyDescent="0.3">
      <c r="B18" s="7"/>
      <c r="C18" s="7"/>
      <c r="D18" s="7"/>
      <c r="H18" s="7"/>
      <c r="I18" s="7"/>
      <c r="J18" s="7"/>
    </row>
    <row r="19" spans="1:10" x14ac:dyDescent="0.3">
      <c r="A19" s="3" t="s">
        <v>19</v>
      </c>
      <c r="B19" s="8">
        <f>SUM(B8:B17)</f>
        <v>347</v>
      </c>
      <c r="C19" s="8">
        <f>SUM(C8:C17)</f>
        <v>464</v>
      </c>
      <c r="D19" s="8">
        <f>SUM(D8:D17)</f>
        <v>905</v>
      </c>
      <c r="G19" s="3" t="s">
        <v>19</v>
      </c>
      <c r="H19" s="8">
        <f>SUM(H8:H17)</f>
        <v>347</v>
      </c>
      <c r="I19" s="8">
        <f>SUM(I8:I17)</f>
        <v>464</v>
      </c>
      <c r="J19" s="8">
        <f>SUM(J8:J17)</f>
        <v>905</v>
      </c>
    </row>
    <row r="20" spans="1:10" x14ac:dyDescent="0.3">
      <c r="A20" s="3" t="s">
        <v>20</v>
      </c>
      <c r="B20" s="11">
        <v>2</v>
      </c>
      <c r="C20" s="11">
        <v>2</v>
      </c>
      <c r="D20" s="11">
        <v>2</v>
      </c>
      <c r="G20" s="3" t="s">
        <v>20</v>
      </c>
      <c r="H20" s="11">
        <v>4</v>
      </c>
      <c r="I20" s="11">
        <v>4</v>
      </c>
      <c r="J20" s="11">
        <v>4</v>
      </c>
    </row>
    <row r="21" spans="1:10" x14ac:dyDescent="0.3">
      <c r="A21" s="3" t="s">
        <v>21</v>
      </c>
      <c r="B21" s="8">
        <f>B19*B20</f>
        <v>694</v>
      </c>
      <c r="C21" s="8">
        <f>C19*C20</f>
        <v>928</v>
      </c>
      <c r="D21" s="8">
        <f>D19*D20</f>
        <v>1810</v>
      </c>
      <c r="G21" s="3" t="s">
        <v>21</v>
      </c>
      <c r="H21" s="8">
        <f>H19*H20</f>
        <v>1388</v>
      </c>
      <c r="I21" s="8">
        <f>I19*I20</f>
        <v>1856</v>
      </c>
      <c r="J21" s="8">
        <f>J19*J20</f>
        <v>3620</v>
      </c>
    </row>
    <row r="22" spans="1:10" x14ac:dyDescent="0.3">
      <c r="B22" s="7"/>
      <c r="C22" s="7"/>
      <c r="D22" s="7"/>
      <c r="H22" s="7"/>
      <c r="I22" s="7"/>
      <c r="J22" s="7"/>
    </row>
    <row r="23" spans="1:10" x14ac:dyDescent="0.3">
      <c r="A23" s="4" t="s">
        <v>15</v>
      </c>
      <c r="B23" s="9"/>
      <c r="C23" s="9"/>
      <c r="D23" s="9"/>
      <c r="G23" s="4" t="s">
        <v>15</v>
      </c>
      <c r="H23" s="9"/>
      <c r="I23" s="9"/>
      <c r="J23" s="9"/>
    </row>
    <row r="24" spans="1:10" x14ac:dyDescent="0.3">
      <c r="A24" s="5" t="s">
        <v>31</v>
      </c>
      <c r="B24" s="9">
        <v>120</v>
      </c>
      <c r="C24" s="9">
        <v>105</v>
      </c>
      <c r="D24" s="9">
        <v>0</v>
      </c>
      <c r="G24" s="5" t="s">
        <v>31</v>
      </c>
      <c r="H24" s="9">
        <v>120</v>
      </c>
      <c r="I24" s="9">
        <v>105</v>
      </c>
      <c r="J24" s="9">
        <v>0</v>
      </c>
    </row>
    <row r="25" spans="1:10" x14ac:dyDescent="0.3">
      <c r="A25" s="5" t="s">
        <v>16</v>
      </c>
      <c r="B25" s="10">
        <v>5</v>
      </c>
      <c r="C25" s="10">
        <v>5</v>
      </c>
      <c r="D25" s="10">
        <v>5</v>
      </c>
      <c r="G25" s="5" t="s">
        <v>16</v>
      </c>
      <c r="H25" s="10">
        <v>5</v>
      </c>
      <c r="I25" s="10">
        <v>5</v>
      </c>
      <c r="J25" s="10">
        <v>5</v>
      </c>
    </row>
    <row r="26" spans="1:10" x14ac:dyDescent="0.3">
      <c r="A26" s="5" t="s">
        <v>17</v>
      </c>
      <c r="B26" s="9">
        <f>B24*B25</f>
        <v>600</v>
      </c>
      <c r="C26" s="9">
        <f t="shared" ref="C26:D26" si="0">C24*C25</f>
        <v>525</v>
      </c>
      <c r="D26" s="9">
        <f t="shared" si="0"/>
        <v>0</v>
      </c>
      <c r="G26" s="5" t="s">
        <v>17</v>
      </c>
      <c r="H26" s="9">
        <f>H24*H25</f>
        <v>600</v>
      </c>
      <c r="I26" s="9">
        <f t="shared" ref="I26" si="1">I24*I25</f>
        <v>525</v>
      </c>
      <c r="J26" s="9">
        <f t="shared" ref="J26" si="2">J24*J25</f>
        <v>0</v>
      </c>
    </row>
    <row r="27" spans="1:10" x14ac:dyDescent="0.3">
      <c r="A27" s="12"/>
      <c r="B27" s="13"/>
      <c r="C27" s="13"/>
      <c r="D27" s="13"/>
      <c r="G27" s="12"/>
      <c r="H27" s="13"/>
      <c r="I27" s="13"/>
      <c r="J27" s="13"/>
    </row>
    <row r="28" spans="1:10" x14ac:dyDescent="0.3">
      <c r="A28" s="14" t="s">
        <v>22</v>
      </c>
      <c r="B28" s="15"/>
      <c r="C28" s="15"/>
      <c r="D28" s="15"/>
      <c r="G28" s="14" t="s">
        <v>22</v>
      </c>
      <c r="H28" s="15"/>
      <c r="I28" s="15"/>
      <c r="J28" s="15"/>
    </row>
    <row r="29" spans="1:10" x14ac:dyDescent="0.3">
      <c r="A29" s="16" t="s">
        <v>32</v>
      </c>
      <c r="B29" s="15">
        <v>40</v>
      </c>
      <c r="C29" s="15">
        <v>0</v>
      </c>
      <c r="D29" s="15">
        <v>0</v>
      </c>
      <c r="G29" s="16" t="s">
        <v>32</v>
      </c>
      <c r="H29" s="15">
        <v>40</v>
      </c>
      <c r="I29" s="15">
        <v>0</v>
      </c>
      <c r="J29" s="15">
        <v>0</v>
      </c>
    </row>
    <row r="30" spans="1:10" x14ac:dyDescent="0.3">
      <c r="A30" s="16" t="s">
        <v>24</v>
      </c>
      <c r="B30" s="17">
        <v>4</v>
      </c>
      <c r="C30" s="17">
        <v>4</v>
      </c>
      <c r="D30" s="17">
        <v>4</v>
      </c>
      <c r="G30" s="16" t="s">
        <v>24</v>
      </c>
      <c r="H30" s="17">
        <v>4</v>
      </c>
      <c r="I30" s="17">
        <v>4</v>
      </c>
      <c r="J30" s="17">
        <v>4</v>
      </c>
    </row>
    <row r="31" spans="1:10" x14ac:dyDescent="0.3">
      <c r="A31" s="16" t="s">
        <v>26</v>
      </c>
      <c r="B31" s="15">
        <f>B29*B30</f>
        <v>160</v>
      </c>
      <c r="C31" s="15">
        <f t="shared" ref="C31:D31" si="3">C29*C30</f>
        <v>0</v>
      </c>
      <c r="D31" s="15">
        <f t="shared" si="3"/>
        <v>0</v>
      </c>
      <c r="G31" s="16" t="s">
        <v>26</v>
      </c>
      <c r="H31" s="15">
        <f>H29*H30</f>
        <v>160</v>
      </c>
      <c r="I31" s="15">
        <f t="shared" ref="I31" si="4">I29*I30</f>
        <v>0</v>
      </c>
      <c r="J31" s="15">
        <f t="shared" ref="J31" si="5">J29*J30</f>
        <v>0</v>
      </c>
    </row>
    <row r="32" spans="1:10" x14ac:dyDescent="0.3">
      <c r="B32" s="7"/>
      <c r="C32" s="7"/>
      <c r="D32" s="7"/>
      <c r="H32" s="7"/>
      <c r="I32" s="7"/>
      <c r="J32" s="7"/>
    </row>
    <row r="33" spans="1:10" x14ac:dyDescent="0.3">
      <c r="A33" s="4" t="s">
        <v>23</v>
      </c>
      <c r="B33" s="5"/>
      <c r="C33" s="5"/>
      <c r="D33" s="5"/>
      <c r="G33" s="4" t="s">
        <v>23</v>
      </c>
      <c r="H33" s="5"/>
      <c r="I33" s="5"/>
      <c r="J33" s="5"/>
    </row>
    <row r="34" spans="1:10" x14ac:dyDescent="0.3">
      <c r="A34" s="5" t="s">
        <v>30</v>
      </c>
      <c r="B34" s="9">
        <v>50</v>
      </c>
      <c r="C34" s="9">
        <v>50</v>
      </c>
      <c r="D34" s="9">
        <v>0</v>
      </c>
      <c r="G34" s="5" t="s">
        <v>30</v>
      </c>
      <c r="H34" s="9">
        <v>50</v>
      </c>
      <c r="I34" s="9">
        <v>50</v>
      </c>
      <c r="J34" s="9">
        <v>0</v>
      </c>
    </row>
    <row r="35" spans="1:10" x14ac:dyDescent="0.3">
      <c r="A35" s="5" t="s">
        <v>27</v>
      </c>
      <c r="B35" s="10">
        <v>2</v>
      </c>
      <c r="C35" s="10">
        <v>2</v>
      </c>
      <c r="D35" s="10">
        <v>2</v>
      </c>
      <c r="G35" s="5" t="s">
        <v>27</v>
      </c>
      <c r="H35" s="10">
        <v>4</v>
      </c>
      <c r="I35" s="10">
        <v>4</v>
      </c>
      <c r="J35" s="10">
        <v>4</v>
      </c>
    </row>
    <row r="36" spans="1:10" x14ac:dyDescent="0.3">
      <c r="A36" s="5" t="s">
        <v>24</v>
      </c>
      <c r="B36" s="5">
        <v>4</v>
      </c>
      <c r="C36" s="5">
        <v>4</v>
      </c>
      <c r="D36" s="5">
        <v>4</v>
      </c>
      <c r="G36" s="5" t="s">
        <v>24</v>
      </c>
      <c r="H36" s="5">
        <v>4</v>
      </c>
      <c r="I36" s="5">
        <v>4</v>
      </c>
      <c r="J36" s="5">
        <v>4</v>
      </c>
    </row>
    <row r="37" spans="1:10" x14ac:dyDescent="0.3">
      <c r="A37" s="5" t="s">
        <v>25</v>
      </c>
      <c r="B37" s="9">
        <f>B34*B35*B36</f>
        <v>400</v>
      </c>
      <c r="C37" s="9">
        <f t="shared" ref="C37:D37" si="6">C34*C35*C36</f>
        <v>400</v>
      </c>
      <c r="D37" s="9">
        <f t="shared" si="6"/>
        <v>0</v>
      </c>
      <c r="G37" s="5" t="s">
        <v>25</v>
      </c>
      <c r="H37" s="9">
        <f>H34*H35*H36</f>
        <v>800</v>
      </c>
      <c r="I37" s="9">
        <f t="shared" ref="I37" si="7">I34*I35*I36</f>
        <v>800</v>
      </c>
      <c r="J37" s="9">
        <f t="shared" ref="J37" si="8">J34*J35*J36</f>
        <v>0</v>
      </c>
    </row>
    <row r="39" spans="1:10" x14ac:dyDescent="0.3">
      <c r="A39" s="18" t="s">
        <v>18</v>
      </c>
      <c r="B39" s="19">
        <f>SUM(B21,B26,B31,B37)</f>
        <v>1854</v>
      </c>
      <c r="C39" s="19">
        <f t="shared" ref="C39:D39" si="9">SUM(C21,C26,C31,C37)</f>
        <v>1853</v>
      </c>
      <c r="D39" s="19">
        <f t="shared" si="9"/>
        <v>1810</v>
      </c>
      <c r="G39" s="18" t="s">
        <v>18</v>
      </c>
      <c r="H39" s="19">
        <f>SUM(H21,H26,H31,H37)</f>
        <v>2948</v>
      </c>
      <c r="I39" s="19">
        <f t="shared" ref="I39:J39" si="10">SUM(I21,I26,I31,I37)</f>
        <v>3181</v>
      </c>
      <c r="J39" s="19">
        <f t="shared" si="10"/>
        <v>3620</v>
      </c>
    </row>
  </sheetData>
  <pageMargins left="0.7" right="0.7" top="0.75" bottom="0.75" header="0.3" footer="0.3"/>
  <pageSetup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Tanisha Tirkey</dc:creator>
  <cp:lastModifiedBy>Tanisha Tirkey</cp:lastModifiedBy>
  <cp:lastPrinted>2026-10-22T16:39:48Z</cp:lastPrinted>
  <dcterms:created xsi:type="dcterms:W3CDTF">2026-10-22T15:41:51Z</dcterms:created>
  <dcterms:modified xsi:type="dcterms:W3CDTF">2026-10-22T16:40:06Z</dcterms:modified>
</cp:coreProperties>
</file>