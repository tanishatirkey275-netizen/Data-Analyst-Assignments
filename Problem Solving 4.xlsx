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 TIRKEY\Documents\"/>
    </mc:Choice>
  </mc:AlternateContent>
  <xr:revisionPtr revIDLastSave="0" documentId="13_ncr:1_{65C90FF6-2319-4ED1-A88F-DECE430ECB44}" xr6:coauthVersionLast="47" xr6:coauthVersionMax="47" xr10:uidLastSave="{00000000-0000-0000-0000-000000000000}"/>
  <bookViews>
    <workbookView xWindow="-108" yWindow="-108" windowWidth="23256" windowHeight="12456" xr2:uid="{0B25539A-6F61-40DB-B7CD-1DFA7E8C4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9" i="1" s="1"/>
  <c r="I21" i="1" s="1"/>
  <c r="H16" i="1"/>
  <c r="H19" i="1" s="1"/>
  <c r="H21" i="1" s="1"/>
  <c r="G16" i="1"/>
  <c r="G19" i="1" s="1"/>
  <c r="G21" i="1" s="1"/>
  <c r="I13" i="1"/>
  <c r="H13" i="1"/>
  <c r="G13" i="1"/>
  <c r="I8" i="1"/>
  <c r="H8" i="1"/>
  <c r="G8" i="1"/>
  <c r="C21" i="1"/>
  <c r="D21" i="1"/>
  <c r="B21" i="1"/>
  <c r="C19" i="1"/>
  <c r="D19" i="1"/>
  <c r="B19" i="1"/>
  <c r="D16" i="1"/>
  <c r="C16" i="1"/>
  <c r="B16" i="1"/>
  <c r="C13" i="1"/>
  <c r="D13" i="1"/>
  <c r="B13" i="1"/>
  <c r="C8" i="1"/>
  <c r="D8" i="1"/>
  <c r="B8" i="1"/>
</calcChain>
</file>

<file path=xl/sharedStrings.xml><?xml version="1.0" encoding="utf-8"?>
<sst xmlns="http://schemas.openxmlformats.org/spreadsheetml/2006/main" count="41" uniqueCount="19">
  <si>
    <t>Susan</t>
  </si>
  <si>
    <t>Purchase price</t>
  </si>
  <si>
    <t>Epsilon</t>
  </si>
  <si>
    <t>Zero</t>
  </si>
  <si>
    <t>Cost of set of Catridges</t>
  </si>
  <si>
    <t>Pages catridge can print</t>
  </si>
  <si>
    <t>Cost per page</t>
  </si>
  <si>
    <t>Expected pages per day</t>
  </si>
  <si>
    <t>Days in a week</t>
  </si>
  <si>
    <t>Weeks in year</t>
  </si>
  <si>
    <t>Total pages in year</t>
  </si>
  <si>
    <t>Pages per year</t>
  </si>
  <si>
    <t>Printing costs per year</t>
  </si>
  <si>
    <t>Years</t>
  </si>
  <si>
    <t>Total printing cost</t>
  </si>
  <si>
    <t>Total Cost</t>
  </si>
  <si>
    <t>Heavy Packages</t>
  </si>
  <si>
    <t>Tim</t>
  </si>
  <si>
    <t>Tanisha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</si>
</sst>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7" borderId="0" xfId="0" applyNumberFormat="1" applyFill="1"/>
    <xf numFmtId="166" fontId="0" fillId="2" borderId="0" xfId="0" applyNumberFormat="1" applyFill="1"/>
    <xf numFmtId="43" fontId="0" fillId="0" borderId="0" xfId="1" applyFont="1"/>
    <xf numFmtId="166" fontId="0" fillId="4" borderId="0" xfId="0" applyNumberFormat="1" applyFill="1"/>
    <xf numFmtId="166" fontId="0" fillId="5" borderId="0" xfId="0" applyNumberFormat="1" applyFill="1"/>
    <xf numFmtId="166" fontId="0" fillId="6" borderId="0" xfId="0" applyNumberFormat="1" applyFill="1"/>
    <xf numFmtId="0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Susan(Total Cost)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Sheet1!$B$20:$D$20</c:f>
              <c:strCache>
                <c:ptCount val="3"/>
                <c:pt idx="0">
                  <c:v>Epsilon</c:v>
                </c:pt>
                <c:pt idx="1">
                  <c:v>Heavy Packages</c:v>
                </c:pt>
                <c:pt idx="2">
                  <c:v>Zero</c:v>
                </c:pt>
              </c:strCache>
            </c:strRef>
          </c:cat>
          <c:val>
            <c:numRef>
              <c:f>Sheet1!$B$21:$D$21</c:f>
              <c:numCache>
                <c:formatCode>_-[$$-409]* #,##0.00_ ;_-[$$-409]* \-#,##0.00\ ;_-[$$-409]* "-"??_ ;_-@_ 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E-4073-B164-DCE77D20C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64527"/>
        <c:axId val="119860207"/>
      </c:barChart>
      <c:catAx>
        <c:axId val="11986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0207"/>
        <c:crosses val="autoZero"/>
        <c:auto val="1"/>
        <c:lblAlgn val="ctr"/>
        <c:lblOffset val="100"/>
        <c:noMultiLvlLbl val="0"/>
      </c:catAx>
      <c:valAx>
        <c:axId val="1198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Tim(Total Cost)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Sheet1!$G$20:$I$20</c:f>
              <c:strCache>
                <c:ptCount val="3"/>
                <c:pt idx="0">
                  <c:v>Epsilon</c:v>
                </c:pt>
                <c:pt idx="1">
                  <c:v>Heavy Packages</c:v>
                </c:pt>
                <c:pt idx="2">
                  <c:v>Zero</c:v>
                </c:pt>
              </c:strCache>
            </c:strRef>
          </c:cat>
          <c:val>
            <c:numRef>
              <c:f>Sheet1!$G$21:$I$21</c:f>
              <c:numCache>
                <c:formatCode>_-[$$-409]* #,##0.00_ ;_-[$$-409]* \-#,##0.00\ ;_-[$$-409]* "-"??_ ;_-@_ 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A-4E8E-B399-851D4F1A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65343"/>
        <c:axId val="119264383"/>
      </c:barChart>
      <c:catAx>
        <c:axId val="11926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4383"/>
        <c:crosses val="autoZero"/>
        <c:auto val="1"/>
        <c:lblAlgn val="ctr"/>
        <c:lblOffset val="100"/>
        <c:noMultiLvlLbl val="0"/>
      </c:catAx>
      <c:valAx>
        <c:axId val="11926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7620</xdr:rowOff>
    </xdr:from>
    <xdr:to>
      <xdr:col>4</xdr:col>
      <xdr:colOff>137160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7A6C3-5E23-A0A1-3F33-ABD0276B7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22</xdr:row>
      <xdr:rowOff>0</xdr:rowOff>
    </xdr:from>
    <xdr:to>
      <xdr:col>9</xdr:col>
      <xdr:colOff>60960</xdr:colOff>
      <xdr:row>36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26D83-7176-3B2D-856C-7304443A1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92D7-DB9B-49ED-9BDA-5C0E8802BE25}">
  <sheetPr>
    <pageSetUpPr fitToPage="1"/>
  </sheetPr>
  <dimension ref="A1:I21"/>
  <sheetViews>
    <sheetView tabSelected="1" workbookViewId="0"/>
  </sheetViews>
  <sheetFormatPr defaultRowHeight="14.4" x14ac:dyDescent="0.3"/>
  <cols>
    <col min="1" max="1" width="20.44140625" bestFit="1" customWidth="1"/>
    <col min="2" max="2" width="10.109375" bestFit="1" customWidth="1"/>
    <col min="3" max="3" width="14" bestFit="1" customWidth="1"/>
    <col min="6" max="6" width="20.44140625" bestFit="1" customWidth="1"/>
    <col min="7" max="7" width="11.33203125" bestFit="1" customWidth="1"/>
    <col min="8" max="8" width="14" bestFit="1" customWidth="1"/>
    <col min="9" max="9" width="11.33203125" bestFit="1" customWidth="1"/>
  </cols>
  <sheetData>
    <row r="1" spans="1:9" x14ac:dyDescent="0.3">
      <c r="A1" t="s">
        <v>18</v>
      </c>
    </row>
    <row r="3" spans="1:9" x14ac:dyDescent="0.3">
      <c r="A3" t="s">
        <v>0</v>
      </c>
      <c r="B3" t="s">
        <v>2</v>
      </c>
      <c r="C3" t="s">
        <v>16</v>
      </c>
      <c r="D3" t="s">
        <v>3</v>
      </c>
      <c r="F3" t="s">
        <v>17</v>
      </c>
      <c r="G3" t="s">
        <v>2</v>
      </c>
      <c r="H3" t="s">
        <v>16</v>
      </c>
      <c r="I3" t="s">
        <v>3</v>
      </c>
    </row>
    <row r="4" spans="1:9" x14ac:dyDescent="0.3">
      <c r="A4" s="6" t="s">
        <v>1</v>
      </c>
      <c r="B4" s="7">
        <v>29</v>
      </c>
      <c r="C4" s="7">
        <v>149</v>
      </c>
      <c r="D4" s="7">
        <v>549</v>
      </c>
      <c r="F4" s="6" t="s">
        <v>1</v>
      </c>
      <c r="G4" s="7">
        <v>29</v>
      </c>
      <c r="H4" s="7">
        <v>149</v>
      </c>
      <c r="I4" s="7">
        <v>549</v>
      </c>
    </row>
    <row r="6" spans="1:9" x14ac:dyDescent="0.3">
      <c r="A6" s="1" t="s">
        <v>4</v>
      </c>
      <c r="B6" s="8">
        <v>40</v>
      </c>
      <c r="C6" s="8">
        <v>90</v>
      </c>
      <c r="D6" s="8">
        <v>370</v>
      </c>
      <c r="F6" s="1" t="s">
        <v>4</v>
      </c>
      <c r="G6" s="8">
        <v>40</v>
      </c>
      <c r="H6" s="8">
        <v>90</v>
      </c>
      <c r="I6" s="8">
        <v>370</v>
      </c>
    </row>
    <row r="7" spans="1:9" x14ac:dyDescent="0.3">
      <c r="A7" s="1" t="s">
        <v>5</v>
      </c>
      <c r="B7" s="1">
        <v>200</v>
      </c>
      <c r="C7" s="1">
        <v>1000</v>
      </c>
      <c r="D7" s="1">
        <v>11000</v>
      </c>
      <c r="F7" s="1" t="s">
        <v>5</v>
      </c>
      <c r="G7" s="1">
        <v>200</v>
      </c>
      <c r="H7" s="1">
        <v>1000</v>
      </c>
      <c r="I7" s="1">
        <v>11000</v>
      </c>
    </row>
    <row r="8" spans="1:9" x14ac:dyDescent="0.3">
      <c r="A8" s="1" t="s">
        <v>6</v>
      </c>
      <c r="B8" s="8">
        <f>B6/B7</f>
        <v>0.2</v>
      </c>
      <c r="C8" s="8">
        <f t="shared" ref="C8:D8" si="0">C6/C7</f>
        <v>0.09</v>
      </c>
      <c r="D8" s="8">
        <f t="shared" si="0"/>
        <v>3.3636363636363638E-2</v>
      </c>
      <c r="F8" s="1" t="s">
        <v>6</v>
      </c>
      <c r="G8" s="8">
        <f>G6/G7</f>
        <v>0.2</v>
      </c>
      <c r="H8" s="8">
        <f t="shared" ref="H8" si="1">H6/H7</f>
        <v>0.09</v>
      </c>
      <c r="I8" s="8">
        <f t="shared" ref="I8" si="2">I6/I7</f>
        <v>3.3636363636363638E-2</v>
      </c>
    </row>
    <row r="10" spans="1:9" x14ac:dyDescent="0.3">
      <c r="A10" s="2" t="s">
        <v>7</v>
      </c>
      <c r="B10" s="13">
        <v>15</v>
      </c>
      <c r="C10" s="13">
        <v>15</v>
      </c>
      <c r="D10" s="13">
        <v>15</v>
      </c>
      <c r="E10" s="9"/>
      <c r="F10" s="2" t="s">
        <v>7</v>
      </c>
      <c r="G10" s="13">
        <v>500</v>
      </c>
      <c r="H10" s="13">
        <v>500</v>
      </c>
      <c r="I10" s="13">
        <v>500</v>
      </c>
    </row>
    <row r="11" spans="1:9" x14ac:dyDescent="0.3">
      <c r="A11" s="2" t="s">
        <v>8</v>
      </c>
      <c r="B11" s="13">
        <v>5</v>
      </c>
      <c r="C11" s="13">
        <v>5</v>
      </c>
      <c r="D11" s="13">
        <v>5</v>
      </c>
      <c r="E11" s="9"/>
      <c r="F11" s="2" t="s">
        <v>8</v>
      </c>
      <c r="G11" s="13">
        <v>5</v>
      </c>
      <c r="H11" s="13">
        <v>5</v>
      </c>
      <c r="I11" s="13">
        <v>5</v>
      </c>
    </row>
    <row r="12" spans="1:9" x14ac:dyDescent="0.3">
      <c r="A12" s="2" t="s">
        <v>9</v>
      </c>
      <c r="B12" s="13">
        <v>50</v>
      </c>
      <c r="C12" s="13">
        <v>50</v>
      </c>
      <c r="D12" s="13">
        <v>50</v>
      </c>
      <c r="E12" s="9"/>
      <c r="F12" s="2" t="s">
        <v>9</v>
      </c>
      <c r="G12" s="13">
        <v>50</v>
      </c>
      <c r="H12" s="13">
        <v>50</v>
      </c>
      <c r="I12" s="13">
        <v>50</v>
      </c>
    </row>
    <row r="13" spans="1:9" x14ac:dyDescent="0.3">
      <c r="A13" s="2" t="s">
        <v>10</v>
      </c>
      <c r="B13" s="13">
        <f>B10*B11*B12</f>
        <v>3750</v>
      </c>
      <c r="C13" s="13">
        <f t="shared" ref="C13:D13" si="3">C10*C11*C12</f>
        <v>3750</v>
      </c>
      <c r="D13" s="13">
        <f t="shared" si="3"/>
        <v>3750</v>
      </c>
      <c r="E13" s="9"/>
      <c r="F13" s="2" t="s">
        <v>10</v>
      </c>
      <c r="G13" s="13">
        <f>G10*G11*G12</f>
        <v>125000</v>
      </c>
      <c r="H13" s="13">
        <f t="shared" ref="H13" si="4">H10*H11*H12</f>
        <v>125000</v>
      </c>
      <c r="I13" s="13">
        <f t="shared" ref="I13" si="5">I10*I11*I12</f>
        <v>125000</v>
      </c>
    </row>
    <row r="15" spans="1:9" x14ac:dyDescent="0.3">
      <c r="A15" s="3" t="s">
        <v>11</v>
      </c>
      <c r="B15" s="3">
        <v>3750</v>
      </c>
      <c r="C15" s="3">
        <v>3750</v>
      </c>
      <c r="D15" s="3">
        <v>3750</v>
      </c>
      <c r="F15" s="3" t="s">
        <v>11</v>
      </c>
      <c r="G15" s="3">
        <v>125000</v>
      </c>
      <c r="H15" s="3">
        <v>125000</v>
      </c>
      <c r="I15" s="3">
        <v>125000</v>
      </c>
    </row>
    <row r="16" spans="1:9" x14ac:dyDescent="0.3">
      <c r="A16" s="3" t="s">
        <v>12</v>
      </c>
      <c r="B16" s="10">
        <f>B15*B8</f>
        <v>750</v>
      </c>
      <c r="C16" s="10">
        <f t="shared" ref="C16:D16" si="6">C15*C8</f>
        <v>337.5</v>
      </c>
      <c r="D16" s="10">
        <f>D15*(D6/D7)</f>
        <v>126.13636363636364</v>
      </c>
      <c r="F16" s="3" t="s">
        <v>12</v>
      </c>
      <c r="G16" s="10">
        <f>G15*G8</f>
        <v>25000</v>
      </c>
      <c r="H16" s="10">
        <f t="shared" ref="H16" si="7">H15*H8</f>
        <v>11250</v>
      </c>
      <c r="I16" s="10">
        <f>I15*(I6/I7)</f>
        <v>4204.545454545455</v>
      </c>
    </row>
    <row r="17" spans="1:9" x14ac:dyDescent="0.3">
      <c r="A17" s="3" t="s">
        <v>13</v>
      </c>
      <c r="B17" s="3">
        <v>2</v>
      </c>
      <c r="C17" s="3">
        <v>2</v>
      </c>
      <c r="D17" s="3">
        <v>2</v>
      </c>
      <c r="F17" s="3" t="s">
        <v>13</v>
      </c>
      <c r="G17" s="3">
        <v>2</v>
      </c>
      <c r="H17" s="3">
        <v>2</v>
      </c>
      <c r="I17" s="3">
        <v>2</v>
      </c>
    </row>
    <row r="19" spans="1:9" x14ac:dyDescent="0.3">
      <c r="A19" s="4" t="s">
        <v>14</v>
      </c>
      <c r="B19" s="11">
        <f>B16*B17</f>
        <v>1500</v>
      </c>
      <c r="C19" s="11">
        <f t="shared" ref="C19:D19" si="8">C16*C17</f>
        <v>675</v>
      </c>
      <c r="D19" s="11">
        <f t="shared" si="8"/>
        <v>252.27272727272728</v>
      </c>
      <c r="F19" s="4" t="s">
        <v>14</v>
      </c>
      <c r="G19" s="11">
        <f>G16*G17</f>
        <v>50000</v>
      </c>
      <c r="H19" s="11">
        <f t="shared" ref="H19:I19" si="9">H16*H17</f>
        <v>22500</v>
      </c>
      <c r="I19" s="11">
        <f t="shared" si="9"/>
        <v>8409.0909090909099</v>
      </c>
    </row>
    <row r="20" spans="1:9" x14ac:dyDescent="0.3">
      <c r="B20" s="5" t="s">
        <v>2</v>
      </c>
      <c r="C20" s="5" t="s">
        <v>16</v>
      </c>
      <c r="D20" s="5" t="s">
        <v>3</v>
      </c>
      <c r="G20" s="5" t="s">
        <v>2</v>
      </c>
      <c r="H20" s="5" t="s">
        <v>16</v>
      </c>
      <c r="I20" s="5" t="s">
        <v>3</v>
      </c>
    </row>
    <row r="21" spans="1:9" x14ac:dyDescent="0.3">
      <c r="A21" s="5" t="s">
        <v>15</v>
      </c>
      <c r="B21" s="12">
        <f>B19+B4</f>
        <v>1529</v>
      </c>
      <c r="C21" s="12">
        <f t="shared" ref="C21:D21" si="10">C19+C4</f>
        <v>824</v>
      </c>
      <c r="D21" s="12">
        <f t="shared" si="10"/>
        <v>801.27272727272725</v>
      </c>
      <c r="F21" s="5" t="s">
        <v>15</v>
      </c>
      <c r="G21" s="12">
        <f>G19+G4</f>
        <v>50029</v>
      </c>
      <c r="H21" s="12">
        <f t="shared" ref="H21:I21" si="11">H19+H4</f>
        <v>22649</v>
      </c>
      <c r="I21" s="12">
        <f t="shared" si="11"/>
        <v>8958.0909090909099</v>
      </c>
    </row>
  </sheetData>
  <pageMargins left="0.7" right="0.7" top="0.75" bottom="0.75" header="0.3" footer="0.3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Tirkey</dc:creator>
  <cp:lastModifiedBy>Tanisha Tirkey</cp:lastModifiedBy>
  <cp:lastPrinted>2026-10-23T07:52:27Z</cp:lastPrinted>
  <dcterms:created xsi:type="dcterms:W3CDTF">2026-10-22T16:40:52Z</dcterms:created>
  <dcterms:modified xsi:type="dcterms:W3CDTF">2026-10-23T07:52:42Z</dcterms:modified>
</cp:coreProperties>
</file>